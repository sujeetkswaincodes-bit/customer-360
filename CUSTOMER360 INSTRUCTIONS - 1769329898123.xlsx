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alytixlabs_Training_DSP_ML_Jan_2026\20260118_Class_3\"/>
    </mc:Choice>
  </mc:AlternateContent>
  <xr:revisionPtr revIDLastSave="0" documentId="13_ncr:1_{C8A32137-4607-4D45-BE03-007E13DC13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360" sheetId="1" r:id="rId1"/>
  </sheets>
  <calcPr calcId="191029"/>
</workbook>
</file>

<file path=xl/calcChain.xml><?xml version="1.0" encoding="utf-8"?>
<calcChain xmlns="http://schemas.openxmlformats.org/spreadsheetml/2006/main">
  <c r="G74" i="1" l="1"/>
</calcChain>
</file>

<file path=xl/sharedStrings.xml><?xml version="1.0" encoding="utf-8"?>
<sst xmlns="http://schemas.openxmlformats.org/spreadsheetml/2006/main" count="305" uniqueCount="303">
  <si>
    <t>Variable</t>
  </si>
  <si>
    <t>Description</t>
  </si>
  <si>
    <t>Definition</t>
  </si>
  <si>
    <t>Customer_ID</t>
  </si>
  <si>
    <t>Customer Unique Id</t>
  </si>
  <si>
    <t>Gender</t>
  </si>
  <si>
    <t>Sex</t>
  </si>
  <si>
    <t>first_Date</t>
  </si>
  <si>
    <t>First Purchase date</t>
  </si>
  <si>
    <t>recent_date</t>
  </si>
  <si>
    <t>Recent purchase date</t>
  </si>
  <si>
    <t>Customer_value</t>
  </si>
  <si>
    <t>Total revenue from customer</t>
  </si>
  <si>
    <t>buy_times</t>
  </si>
  <si>
    <t>Total number of orders</t>
  </si>
  <si>
    <t>Points_earned</t>
  </si>
  <si>
    <t>Loyalty points balance</t>
  </si>
  <si>
    <t>Points_redeemed</t>
  </si>
  <si>
    <t>Redeemed loyalty points</t>
  </si>
  <si>
    <t>no_baskets</t>
  </si>
  <si>
    <t>Number of baskets (all orders in one day is equal to basket)</t>
  </si>
  <si>
    <t>count(distinct no. of order dates)</t>
  </si>
  <si>
    <t>sale_amount</t>
  </si>
  <si>
    <t>Sum(sale_amount)</t>
  </si>
  <si>
    <t xml:space="preserve">Average Basket size </t>
  </si>
  <si>
    <t>Sum(sale_amount)/No.of baskets</t>
  </si>
  <si>
    <t>act_amt</t>
  </si>
  <si>
    <t xml:space="preserve">Actual sale amount </t>
  </si>
  <si>
    <t>sum( sale_price * sale_number)</t>
  </si>
  <si>
    <t>cost_amt</t>
  </si>
  <si>
    <t>Total Cost of products</t>
  </si>
  <si>
    <t>sum(cost_price * sale_number)</t>
  </si>
  <si>
    <t>margin</t>
  </si>
  <si>
    <t>margin on products (Sale_amount - Cost_amount)</t>
  </si>
  <si>
    <t>Sum(sale_amount) - sum(cost_price * sale_number)</t>
  </si>
  <si>
    <t>avg_margin</t>
  </si>
  <si>
    <t>Average Margin</t>
  </si>
  <si>
    <t>margin/no.of baskets</t>
  </si>
  <si>
    <t>no_baskets_weekend</t>
  </si>
  <si>
    <t>Number of trips(baskets) in weekends(Saturday &amp; Sunday)</t>
  </si>
  <si>
    <t>no_baskets_w_promo_prds</t>
  </si>
  <si>
    <t>Number of trips(baskets) with at least one free sample product</t>
  </si>
  <si>
    <t>quantiy</t>
  </si>
  <si>
    <t>Total number of items</t>
  </si>
  <si>
    <t>sum(sale_number)</t>
  </si>
  <si>
    <t>avg_quantiy</t>
  </si>
  <si>
    <t>Number of items per basket</t>
  </si>
  <si>
    <t>sum(sale_number)/no.of baskets</t>
  </si>
  <si>
    <t>discount</t>
  </si>
  <si>
    <t>Total Discount Amount</t>
  </si>
  <si>
    <t>sum( sale_price * sale_number) - sum(sale_amount)</t>
  </si>
  <si>
    <t>avg_discount</t>
  </si>
  <si>
    <t>Discount per basket</t>
  </si>
  <si>
    <t>discount/no.of baskets</t>
  </si>
  <si>
    <t>discount_items</t>
  </si>
  <si>
    <t>Number of discount items where discount &gt;0</t>
  </si>
  <si>
    <t>count(discount&gt;0)</t>
  </si>
  <si>
    <t>no_prds</t>
  </si>
  <si>
    <t>Number of products</t>
  </si>
  <si>
    <t>Sum(no.of sku)</t>
  </si>
  <si>
    <t>Avg_no_prds</t>
  </si>
  <si>
    <t>Number of products per basket</t>
  </si>
  <si>
    <t>no_prds/no.of baskets</t>
  </si>
  <si>
    <t>no_prds_weekend</t>
  </si>
  <si>
    <t>Number of products purchased in week ends</t>
  </si>
  <si>
    <t>no_prds_promo</t>
  </si>
  <si>
    <t xml:space="preserve">Number of promo products purchased </t>
  </si>
  <si>
    <t>Total number of products in the Kitchen cleaning category</t>
  </si>
  <si>
    <t>Total number of products in the Home category</t>
  </si>
  <si>
    <t>Total number of products in the Mobile phones category</t>
  </si>
  <si>
    <t>Total number of products in the Digital category</t>
  </si>
  <si>
    <t>Total number of products in the Clothing and shoes category</t>
  </si>
  <si>
    <t>Total number of products in the Mother and children category</t>
  </si>
  <si>
    <t>Total number of products in the Car related products category</t>
  </si>
  <si>
    <t>Total number of products in the Household electrical appliances category</t>
  </si>
  <si>
    <t>Total number of products in the Computers, software, office supplies category</t>
  </si>
  <si>
    <t>Total number of products in the Beauty category</t>
  </si>
  <si>
    <t>Total number of products in the Nutrition and health category</t>
  </si>
  <si>
    <t>Total number of products in the Imported food category</t>
  </si>
  <si>
    <t>Total number of products in the Food category</t>
  </si>
  <si>
    <t>Total number of products in the Drinks category</t>
  </si>
  <si>
    <t>cat_pen_cat = number of baskets ('trips') containing the category/number of baskets ('trips')</t>
  </si>
  <si>
    <t>At least one purchase in this Kitchen cleaning category</t>
  </si>
  <si>
    <t>purchase Flag in this category (Purchasing atleast one product from this category)</t>
  </si>
  <si>
    <t>At least one purchase in this Home category</t>
  </si>
  <si>
    <t>At least one purchase in this Mobile phones category</t>
  </si>
  <si>
    <t>At least one purchase in this Digital category</t>
  </si>
  <si>
    <t>At least one purchase in this Clothing and shoes category</t>
  </si>
  <si>
    <t>At least one purchase in this Mother and children category</t>
  </si>
  <si>
    <t>At least one purchase in this Car related products category</t>
  </si>
  <si>
    <t>At least one purchase in this Household electrical appliances category</t>
  </si>
  <si>
    <t>At least one purchase in this Computers, software, office supplies category</t>
  </si>
  <si>
    <t>At least one purchase in this Beauty category</t>
  </si>
  <si>
    <t>At least one purchase in this Nutrition and health category</t>
  </si>
  <si>
    <t>At least one purchase in this Imported food category</t>
  </si>
  <si>
    <t>At least one purchase in this Food category</t>
  </si>
  <si>
    <t>At least one purchase in this Drinks category</t>
  </si>
  <si>
    <t>At least one purchase at first purchase from this Kitchen cleaning category</t>
  </si>
  <si>
    <t>First purchase Flag in this category(Purchasing atleast one product from this category)</t>
  </si>
  <si>
    <t>At least one purchase at first purchase from this Home category</t>
  </si>
  <si>
    <t>At least one purchase at first purchase from this Mobile phones category</t>
  </si>
  <si>
    <t>At least one purchase at first purchase from this Digital category</t>
  </si>
  <si>
    <t>At least one purchase at first purchase from this Clothing and shoes category</t>
  </si>
  <si>
    <t>At least one purchase at first purchase from this Mother and children category</t>
  </si>
  <si>
    <t>At least one purchase at first purchase from this Car related products category</t>
  </si>
  <si>
    <t>At least one purchase at first purchase from this Household electrical appliances category</t>
  </si>
  <si>
    <t>At least one purchase at first purchase from this Computers, software, office supplies category</t>
  </si>
  <si>
    <t>At least one purchase at first purchase from this Beauty category</t>
  </si>
  <si>
    <t>At least one purchase at first purchase from this Nutrition and health category</t>
  </si>
  <si>
    <t>At least one purchase at first purchase from this Imported food category</t>
  </si>
  <si>
    <t>At least one purchase at first purchase from this Food category</t>
  </si>
  <si>
    <t>At least one purchase at first purchase from this Drinks category</t>
  </si>
  <si>
    <t>buyer_flag</t>
  </si>
  <si>
    <t>One time buyer/Repeat buyer</t>
  </si>
  <si>
    <t>if no_baskets = 1 then buyer_flag = "One_time Buyer"; else buyer_flag = "Repeat Buyer";</t>
  </si>
  <si>
    <t>redeem_flag</t>
  </si>
  <si>
    <t>Customer who redeemed point in this period</t>
  </si>
  <si>
    <t>if points_redeemed &gt; 0 then redeem_flag = 1; else redeem_flag = 0;</t>
  </si>
  <si>
    <t>multi_cat_flag</t>
  </si>
  <si>
    <t>one category purchased/multi category purchased</t>
  </si>
  <si>
    <t>if cat_cnt =1 then multi_cat_flag = 0; else multi_cat_flag = 1;</t>
  </si>
  <si>
    <t>margin_pct</t>
  </si>
  <si>
    <t>Percentage of margin</t>
  </si>
  <si>
    <t>if sale_amount = 0 then margin_pct=.; else margin_pct = margin/sale_amount;</t>
  </si>
  <si>
    <t>discount_pct</t>
  </si>
  <si>
    <t>Percentage of discount</t>
  </si>
  <si>
    <t>if act_amt = 0 then discount_pct=.; else discount_pct = discount/act_amt;</t>
  </si>
  <si>
    <t>promo_prd_pct</t>
  </si>
  <si>
    <t>Promotional products percentage</t>
  </si>
  <si>
    <t>if no_prds = 0 then promo_prd_pct=.; else promo_prd_pct = no_prds_promo/no_prds;</t>
  </si>
  <si>
    <t>pct_pur_w_promo_prds</t>
  </si>
  <si>
    <t>Percentage of purchases(Trips/Baskets) with Promo samples</t>
  </si>
  <si>
    <t>if no_baskets &gt; 0 then pct_pur_w_promo_prds = no_baskets_w_promo_prds/no_baskets; else pct_pur_w_promo_prds = .;</t>
  </si>
  <si>
    <t>Promo seeker</t>
  </si>
  <si>
    <t>if pct_pur_w_promo_prds &lt;= 0.8 and promo_prd_pct &lt;= 0.5 then Promo_seeker = 0; else Promo_seeker = 1;</t>
  </si>
  <si>
    <t>Decile_Sale_amt</t>
  </si>
  <si>
    <t>Value Decile Flag based on customer value (0-9 Deciles)</t>
  </si>
  <si>
    <t>Decile_Margin</t>
  </si>
  <si>
    <t>Value Decile flag based on Margin (0-9 deciles)</t>
  </si>
  <si>
    <t>Notes:</t>
  </si>
  <si>
    <t>Consider transaction time period only for 1 year (between 01APR2012 and 31MAR2013)</t>
  </si>
  <si>
    <t>Period1: order_date&gt;='01APR2012'  and order_date&lt;='30SEP2012'</t>
  </si>
  <si>
    <t>Period2: order_date&gt;='01OCT2012'  and order_date&lt;='31MAR2013'</t>
  </si>
  <si>
    <t>sale_amount_p1</t>
  </si>
  <si>
    <t>sale_amount_p2</t>
  </si>
  <si>
    <t>Total revenue from customer in period1</t>
  </si>
  <si>
    <t>Total revenue from customer in period2</t>
  </si>
  <si>
    <t>Sum(sale_amount) in period1</t>
  </si>
  <si>
    <t>Sum(sale_amount) in period2</t>
  </si>
  <si>
    <t>CustomerSegment</t>
  </si>
  <si>
    <t>New = if sales_amount_p1 = 0 and sales_amount_p2 &gt;0, 
Churn= if sales_amount_p1 &gt;0 and sales_amount_p2=0
UpwardMigrator = if sales_amount_p2 &gt; sales_amount_p1
DownWardMigrator = if sales_amount_p1 &gt;sales_amount_p2</t>
  </si>
  <si>
    <t>Customer Segment (New, Churner, UpwardMigrator, Downward Migrator)</t>
  </si>
  <si>
    <t>Churn_flag</t>
  </si>
  <si>
    <t>Churn customers</t>
  </si>
  <si>
    <t>Churn= if sales_amount_p1 &gt;0 and sales_amount_p2=0</t>
  </si>
  <si>
    <t>High_Spender_flag</t>
  </si>
  <si>
    <t>High spender flag</t>
  </si>
  <si>
    <t>if Decile_sale_amt=9, then High_spender_flag=1 else 0</t>
  </si>
  <si>
    <t>Promo_seeker_flag</t>
  </si>
  <si>
    <t>cat_cnt_first_purchase</t>
  </si>
  <si>
    <t>No_Distinct_categories</t>
  </si>
  <si>
    <t>How many distinct categories purchased from all categories?</t>
  </si>
  <si>
    <t>cat_prd_cnt_Food</t>
  </si>
  <si>
    <t>cat_prd_cnt_Kitchen_clean</t>
  </si>
  <si>
    <t>cat_prd_cnt_Beauty</t>
  </si>
  <si>
    <t>cat_prd_cnt_Imported_food</t>
  </si>
  <si>
    <t>cat_prd_cnt_Drinks</t>
  </si>
  <si>
    <t>cat_prd_cnt_Mother_child</t>
  </si>
  <si>
    <t>cat_prd_cnt_Home</t>
  </si>
  <si>
    <t>cat_prd_cnt_Nutrition</t>
  </si>
  <si>
    <t>cat_prd_cnt_HH_Electrical</t>
  </si>
  <si>
    <t>cat_prd_cnt_Office_sup_Comuters</t>
  </si>
  <si>
    <t>cat_prd_cnt_Digital</t>
  </si>
  <si>
    <t>cat_prd_cnt_Mobile</t>
  </si>
  <si>
    <t>cat_prd_cnt_Car_prods</t>
  </si>
  <si>
    <t>cat_prd_cnt_Cloath_shoes</t>
  </si>
  <si>
    <t>Total revenue from products in the Food category</t>
  </si>
  <si>
    <t>Total revenue from products in the Kitchen cleaning category</t>
  </si>
  <si>
    <t>Total revenue from products in the Beauty category</t>
  </si>
  <si>
    <t>Total revenue from products in the Imported food category</t>
  </si>
  <si>
    <t>Total revenue from products in the Drinks category</t>
  </si>
  <si>
    <t>Total revenue from products in the Mother and children category</t>
  </si>
  <si>
    <t>Total revenue from products in the Home category</t>
  </si>
  <si>
    <t>Total revenue from products in the Nutrition and health category</t>
  </si>
  <si>
    <t>Total revenue from products in the Household electrical appliances category</t>
  </si>
  <si>
    <t>Total revenue from products in the Computers, software, office supplies category</t>
  </si>
  <si>
    <t>Total revenue from products in the Digital category</t>
  </si>
  <si>
    <t>Total revenue from products in the Mobile phones category</t>
  </si>
  <si>
    <t>Total revenue from products in the Car related products category</t>
  </si>
  <si>
    <t>Total revenue from products in the Clothing and shoes category</t>
  </si>
  <si>
    <t>cat_amt_Food</t>
  </si>
  <si>
    <t>cat_amt_Kitchen_clean</t>
  </si>
  <si>
    <t>cat_amt_Beauty</t>
  </si>
  <si>
    <t>cat_amt_Imported_food</t>
  </si>
  <si>
    <t>cat_amt_Drinks</t>
  </si>
  <si>
    <t>cat_amt_Mother_child</t>
  </si>
  <si>
    <t>cat_amt_Home</t>
  </si>
  <si>
    <t>cat_amt_Nutrition</t>
  </si>
  <si>
    <t>cat_amt_HH_Electrical</t>
  </si>
  <si>
    <t>cat_amt_Office_sup_Comuters</t>
  </si>
  <si>
    <t>cat_amt_Digital</t>
  </si>
  <si>
    <t>cat_amt_Mobile</t>
  </si>
  <si>
    <t>cat_amt_Car_prods</t>
  </si>
  <si>
    <t>cat_amt_Cloath_shoes</t>
  </si>
  <si>
    <t>cat_pen_Food</t>
  </si>
  <si>
    <t>cat_pen_Kitchen_clean</t>
  </si>
  <si>
    <t>cat_pen_Beauty</t>
  </si>
  <si>
    <t>cat_pen_Imported_food</t>
  </si>
  <si>
    <t>cat_pen_Drinks</t>
  </si>
  <si>
    <t>cat_pen_Mother_child</t>
  </si>
  <si>
    <t>cat_pen_Home</t>
  </si>
  <si>
    <t>cat_pen_Nutrition</t>
  </si>
  <si>
    <t>cat_pen_HH_Electrical</t>
  </si>
  <si>
    <t>cat_pen_Office_sup_Comuters</t>
  </si>
  <si>
    <t>cat_pen_Digital</t>
  </si>
  <si>
    <t>cat_pen_Mobile</t>
  </si>
  <si>
    <t>cat_pen_Car_prods</t>
  </si>
  <si>
    <t>cat_pen_Cloath_shoes</t>
  </si>
  <si>
    <t>Category Penetration in the Food category</t>
  </si>
  <si>
    <t>Category Penetration in the Kitchen cleaning category</t>
  </si>
  <si>
    <t>Category Penetration in the Beauty category</t>
  </si>
  <si>
    <t>Category Penetration in the Imported food category</t>
  </si>
  <si>
    <t>Category Penetration in the Drinks category</t>
  </si>
  <si>
    <t>Category Penetration in the Mother and children category</t>
  </si>
  <si>
    <t>Category Penetration in the Home category</t>
  </si>
  <si>
    <t>Category Penetration in the Nutrition and health category</t>
  </si>
  <si>
    <t>Category Penetration in the Household electrical appliances category</t>
  </si>
  <si>
    <t>Category Penetration in the Computers, software, office supplies category</t>
  </si>
  <si>
    <t>Category Penetration in the Digital category</t>
  </si>
  <si>
    <t>Category Penetration in the Mobile phones category</t>
  </si>
  <si>
    <t>Category Penetration in the Car related products category</t>
  </si>
  <si>
    <t>Category Penetration in the Clothing and shoes category</t>
  </si>
  <si>
    <t>cat_pur_Food</t>
  </si>
  <si>
    <t>cat_pur_Kitchen_clean</t>
  </si>
  <si>
    <t>cat_pur_Beauty</t>
  </si>
  <si>
    <t>cat_pur_Imported_food</t>
  </si>
  <si>
    <t>cat_pur_Drinks</t>
  </si>
  <si>
    <t>cat_pur_Mother_child</t>
  </si>
  <si>
    <t>cat_pur_Home</t>
  </si>
  <si>
    <t>cat_pur_Nutrition</t>
  </si>
  <si>
    <t>cat_pur_HH_Electrical</t>
  </si>
  <si>
    <t>cat_pur_Office_sup_Comuters</t>
  </si>
  <si>
    <t>cat_pur_Digital</t>
  </si>
  <si>
    <t>cat_pur_Mobile</t>
  </si>
  <si>
    <t>cat_pur_Car_prods</t>
  </si>
  <si>
    <t>cat_pur_Cloath_shoes</t>
  </si>
  <si>
    <t>cat_first_Food</t>
  </si>
  <si>
    <t>cat_first_Kitchen_clean</t>
  </si>
  <si>
    <t>cat_first_Beauty</t>
  </si>
  <si>
    <t>cat_first_Imported_food</t>
  </si>
  <si>
    <t>cat_first_Drinks</t>
  </si>
  <si>
    <t>cat_first_Mother_child</t>
  </si>
  <si>
    <t>cat_first_Home</t>
  </si>
  <si>
    <t>cat_first_Nutrition</t>
  </si>
  <si>
    <t>cat_first_HH_Electrical</t>
  </si>
  <si>
    <t>cat_first_Office_sup_Comuters</t>
  </si>
  <si>
    <t>cat_first_Digital</t>
  </si>
  <si>
    <t>cat_first_Mobile</t>
  </si>
  <si>
    <t>cat_first_Car_prods</t>
  </si>
  <si>
    <t>cat_first_Cloath_shoes</t>
  </si>
  <si>
    <t>How many distinct categories purchased in the first basket purchase</t>
  </si>
  <si>
    <t>Revenue</t>
  </si>
  <si>
    <t>Qty</t>
  </si>
  <si>
    <t>Margin</t>
  </si>
  <si>
    <t>Overall</t>
  </si>
  <si>
    <t>Weekdays vs. weekends</t>
  </si>
  <si>
    <t>Promotions vs. no promotions</t>
  </si>
  <si>
    <t>Avg_revenue</t>
  </si>
  <si>
    <t>Avg_qty</t>
  </si>
  <si>
    <t>Avg_margin</t>
  </si>
  <si>
    <t>P1 vs. P2</t>
  </si>
  <si>
    <t>Number of baskets</t>
  </si>
  <si>
    <t>Target</t>
  </si>
  <si>
    <t>Segementation</t>
  </si>
  <si>
    <t>value based segmentation</t>
  </si>
  <si>
    <t>Loyalty segmentation</t>
  </si>
  <si>
    <t>RFM segmentation</t>
  </si>
  <si>
    <t>Recency (last purchase date) - Recency</t>
  </si>
  <si>
    <t>Frequency - number of transactions/baskets</t>
  </si>
  <si>
    <t>Monetory - Revenue/Sales Amount</t>
  </si>
  <si>
    <t>Classification</t>
  </si>
  <si>
    <t>Segmentation</t>
  </si>
  <si>
    <t>Feature selections</t>
  </si>
  <si>
    <t>RFE</t>
  </si>
  <si>
    <t>Select Kbest</t>
  </si>
  <si>
    <t>IV</t>
  </si>
  <si>
    <t>Statistical tests</t>
  </si>
  <si>
    <t>VIF</t>
  </si>
  <si>
    <t>PCA - Principle component analysis</t>
  </si>
  <si>
    <t>Reducing the variables/selection of variables/Identifying important features</t>
  </si>
  <si>
    <t>Group people - Problem Solving</t>
  </si>
  <si>
    <t>Client</t>
  </si>
  <si>
    <t>SME</t>
  </si>
  <si>
    <t>Data scientist</t>
  </si>
  <si>
    <t>Data engineer</t>
  </si>
  <si>
    <t>Analytics project</t>
  </si>
  <si>
    <t>avg_basket_value</t>
  </si>
  <si>
    <t>basket - Unique order dates</t>
  </si>
  <si>
    <t>Food</t>
  </si>
  <si>
    <t>Food, Home</t>
  </si>
  <si>
    <t>profit/salesamoun</t>
  </si>
  <si>
    <t>profit</t>
  </si>
  <si>
    <t>total sales -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</si>
</sst>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5" xfId="0" applyFill="1" applyBorder="1"/>
    <xf numFmtId="0" fontId="0" fillId="0" borderId="6" xfId="0" applyBorder="1"/>
    <xf numFmtId="0" fontId="0" fillId="3" borderId="7" xfId="0" applyFill="1" applyBorder="1"/>
    <xf numFmtId="0" fontId="0" fillId="3" borderId="8" xfId="0" applyFill="1" applyBorder="1"/>
    <xf numFmtId="0" fontId="0" fillId="0" borderId="9" xfId="0" applyBorder="1"/>
    <xf numFmtId="0" fontId="0" fillId="0" borderId="8" xfId="0" applyBorder="1"/>
    <xf numFmtId="0" fontId="0" fillId="2" borderId="0" xfId="0" applyFill="1"/>
    <xf numFmtId="0" fontId="0" fillId="0" borderId="12" xfId="0" applyBorder="1"/>
    <xf numFmtId="0" fontId="0" fillId="0" borderId="15" xfId="0" applyBorder="1"/>
    <xf numFmtId="0" fontId="0" fillId="0" borderId="18" xfId="0" applyBorder="1"/>
    <xf numFmtId="0" fontId="3" fillId="0" borderId="0" xfId="2"/>
    <xf numFmtId="0" fontId="4" fillId="3" borderId="4" xfId="0" applyFont="1" applyFill="1" applyBorder="1"/>
    <xf numFmtId="0" fontId="0" fillId="3" borderId="10" xfId="0" applyFill="1" applyBorder="1"/>
    <xf numFmtId="0" fontId="0" fillId="3" borderId="11" xfId="0" applyFill="1" applyBorder="1"/>
    <xf numFmtId="0" fontId="0" fillId="2" borderId="4" xfId="0" applyFill="1" applyBorder="1"/>
    <xf numFmtId="0" fontId="0" fillId="4" borderId="7" xfId="0" applyFill="1" applyBorder="1"/>
    <xf numFmtId="0" fontId="0" fillId="4" borderId="16" xfId="0" applyFill="1" applyBorder="1"/>
    <xf numFmtId="0" fontId="0" fillId="4" borderId="13" xfId="0" applyFill="1" applyBorder="1"/>
    <xf numFmtId="0" fontId="0" fillId="4" borderId="10" xfId="0" applyFill="1" applyBorder="1"/>
    <xf numFmtId="0" fontId="0" fillId="4" borderId="4" xfId="0" applyFill="1" applyBorder="1"/>
    <xf numFmtId="0" fontId="0" fillId="0" borderId="5" xfId="0" applyFill="1" applyBorder="1"/>
    <xf numFmtId="0" fontId="4" fillId="0" borderId="8" xfId="0" applyFont="1" applyFill="1" applyBorder="1"/>
    <xf numFmtId="0" fontId="0" fillId="0" borderId="8" xfId="0" applyFill="1" applyBorder="1"/>
    <xf numFmtId="0" fontId="4" fillId="0" borderId="17" xfId="0" applyFont="1" applyFill="1" applyBorder="1"/>
    <xf numFmtId="0" fontId="0" fillId="0" borderId="14" xfId="0" applyFill="1" applyBorder="1"/>
    <xf numFmtId="0" fontId="0" fillId="0" borderId="11" xfId="0" applyFill="1" applyBorder="1"/>
    <xf numFmtId="0" fontId="0" fillId="0" borderId="17" xfId="0" applyFill="1" applyBorder="1"/>
  </cellXfs>
  <cellStyles count="3">
    <cellStyle name="Hyperlink" xfId="2" builtinId="8"/>
    <cellStyle name="Normal" xfId="0" builtinId="0"/>
    <cellStyle name="Normal 2" xfId="1" xr:uid="{00000000-0005-0000-0000-000002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"/>
  <sheetViews>
    <sheetView tabSelected="1" topLeftCell="A4" zoomScale="90" zoomScaleNormal="90" workbookViewId="0">
      <selection activeCell="C18" sqref="C18"/>
    </sheetView>
  </sheetViews>
  <sheetFormatPr defaultRowHeight="15" x14ac:dyDescent="0.25"/>
  <cols>
    <col min="1" max="1" width="10.140625" customWidth="1"/>
    <col min="2" max="2" width="40.42578125" customWidth="1"/>
    <col min="3" max="3" width="96.42578125" bestFit="1" customWidth="1"/>
    <col min="4" max="4" width="77.42578125" customWidth="1"/>
    <col min="5" max="5" width="3.7109375" customWidth="1"/>
  </cols>
  <sheetData>
    <row r="1" spans="2:14" x14ac:dyDescent="0.25">
      <c r="B1" s="10" t="s">
        <v>139</v>
      </c>
      <c r="C1" t="s">
        <v>140</v>
      </c>
    </row>
    <row r="2" spans="2:14" x14ac:dyDescent="0.25">
      <c r="C2" t="s">
        <v>141</v>
      </c>
    </row>
    <row r="3" spans="2:14" x14ac:dyDescent="0.25">
      <c r="C3" t="s">
        <v>142</v>
      </c>
    </row>
    <row r="5" spans="2:14" ht="15.75" thickBot="1" x14ac:dyDescent="0.3"/>
    <row r="6" spans="2:14" ht="15.75" thickBot="1" x14ac:dyDescent="0.3">
      <c r="B6" s="1" t="s">
        <v>0</v>
      </c>
      <c r="C6" s="2" t="s">
        <v>1</v>
      </c>
      <c r="D6" s="3" t="s">
        <v>2</v>
      </c>
      <c r="H6" t="s">
        <v>290</v>
      </c>
      <c r="N6" t="s">
        <v>295</v>
      </c>
    </row>
    <row r="7" spans="2:14" x14ac:dyDescent="0.25">
      <c r="B7" s="15" t="s">
        <v>3</v>
      </c>
      <c r="C7" s="4" t="s">
        <v>4</v>
      </c>
      <c r="D7" s="5"/>
      <c r="I7" t="s">
        <v>291</v>
      </c>
    </row>
    <row r="8" spans="2:14" x14ac:dyDescent="0.25">
      <c r="B8" s="6" t="s">
        <v>5</v>
      </c>
      <c r="C8" s="7" t="s">
        <v>6</v>
      </c>
      <c r="D8" s="8"/>
      <c r="I8" t="s">
        <v>292</v>
      </c>
    </row>
    <row r="9" spans="2:14" x14ac:dyDescent="0.25">
      <c r="B9" s="6" t="s">
        <v>7</v>
      </c>
      <c r="C9" s="7" t="s">
        <v>8</v>
      </c>
      <c r="D9" s="8"/>
      <c r="I9" t="s">
        <v>293</v>
      </c>
    </row>
    <row r="10" spans="2:14" x14ac:dyDescent="0.25">
      <c r="B10" s="6" t="s">
        <v>9</v>
      </c>
      <c r="C10" s="7" t="s">
        <v>10</v>
      </c>
      <c r="D10" s="8"/>
      <c r="I10" t="s">
        <v>294</v>
      </c>
    </row>
    <row r="11" spans="2:14" x14ac:dyDescent="0.25">
      <c r="B11" s="6" t="s">
        <v>11</v>
      </c>
      <c r="C11" s="7" t="s">
        <v>12</v>
      </c>
      <c r="D11" s="8"/>
    </row>
    <row r="12" spans="2:14" x14ac:dyDescent="0.25">
      <c r="B12" s="6" t="s">
        <v>13</v>
      </c>
      <c r="C12" s="7" t="s">
        <v>14</v>
      </c>
      <c r="D12" s="8"/>
    </row>
    <row r="13" spans="2:14" x14ac:dyDescent="0.25">
      <c r="B13" s="6" t="s">
        <v>15</v>
      </c>
      <c r="C13" s="7" t="s">
        <v>16</v>
      </c>
      <c r="D13" s="8"/>
    </row>
    <row r="14" spans="2:14" ht="15.75" thickBot="1" x14ac:dyDescent="0.3">
      <c r="B14" s="16" t="s">
        <v>17</v>
      </c>
      <c r="C14" s="17" t="s">
        <v>18</v>
      </c>
      <c r="D14" s="11"/>
    </row>
    <row r="15" spans="2:14" ht="15.75" thickBot="1" x14ac:dyDescent="0.3">
      <c r="B15" s="18" t="s">
        <v>19</v>
      </c>
      <c r="C15" s="24" t="s">
        <v>20</v>
      </c>
      <c r="D15" s="5" t="s">
        <v>21</v>
      </c>
      <c r="H15" t="s">
        <v>261</v>
      </c>
      <c r="K15" t="s">
        <v>264</v>
      </c>
    </row>
    <row r="16" spans="2:14" ht="15.75" thickBot="1" x14ac:dyDescent="0.3">
      <c r="B16" s="19" t="s">
        <v>22</v>
      </c>
      <c r="C16" s="24" t="s">
        <v>12</v>
      </c>
      <c r="D16" s="8" t="s">
        <v>23</v>
      </c>
      <c r="H16" t="s">
        <v>262</v>
      </c>
      <c r="K16" t="s">
        <v>265</v>
      </c>
    </row>
    <row r="17" spans="2:11" ht="15.75" thickBot="1" x14ac:dyDescent="0.3">
      <c r="B17" s="19" t="s">
        <v>143</v>
      </c>
      <c r="C17" s="24" t="s">
        <v>145</v>
      </c>
      <c r="D17" s="8" t="s">
        <v>147</v>
      </c>
      <c r="H17" t="s">
        <v>263</v>
      </c>
      <c r="K17" t="s">
        <v>266</v>
      </c>
    </row>
    <row r="18" spans="2:11" x14ac:dyDescent="0.25">
      <c r="B18" s="19" t="s">
        <v>144</v>
      </c>
      <c r="C18" s="24" t="s">
        <v>146</v>
      </c>
      <c r="D18" s="8" t="s">
        <v>148</v>
      </c>
      <c r="H18" t="s">
        <v>271</v>
      </c>
      <c r="K18" t="s">
        <v>267</v>
      </c>
    </row>
    <row r="19" spans="2:11" x14ac:dyDescent="0.25">
      <c r="B19" s="19" t="s">
        <v>296</v>
      </c>
      <c r="C19" s="25" t="s">
        <v>24</v>
      </c>
      <c r="D19" s="8" t="s">
        <v>25</v>
      </c>
      <c r="K19" t="s">
        <v>268</v>
      </c>
    </row>
    <row r="20" spans="2:11" x14ac:dyDescent="0.25">
      <c r="B20" s="19" t="s">
        <v>26</v>
      </c>
      <c r="C20" s="26" t="s">
        <v>27</v>
      </c>
      <c r="D20" s="8" t="s">
        <v>28</v>
      </c>
      <c r="K20" t="s">
        <v>269</v>
      </c>
    </row>
    <row r="21" spans="2:11" x14ac:dyDescent="0.25">
      <c r="B21" s="19" t="s">
        <v>29</v>
      </c>
      <c r="C21" s="26" t="s">
        <v>30</v>
      </c>
      <c r="D21" s="8" t="s">
        <v>31</v>
      </c>
      <c r="K21" t="s">
        <v>270</v>
      </c>
    </row>
    <row r="22" spans="2:11" x14ac:dyDescent="0.25">
      <c r="B22" s="19" t="s">
        <v>32</v>
      </c>
      <c r="C22" s="26" t="s">
        <v>33</v>
      </c>
      <c r="D22" s="8" t="s">
        <v>34</v>
      </c>
    </row>
    <row r="23" spans="2:11" ht="15.75" thickBot="1" x14ac:dyDescent="0.3">
      <c r="B23" s="20" t="s">
        <v>35</v>
      </c>
      <c r="C23" s="27" t="s">
        <v>36</v>
      </c>
      <c r="D23" s="13" t="s">
        <v>37</v>
      </c>
    </row>
    <row r="24" spans="2:11" x14ac:dyDescent="0.25">
      <c r="B24" s="21" t="s">
        <v>38</v>
      </c>
      <c r="C24" s="28" t="s">
        <v>39</v>
      </c>
      <c r="D24" s="12"/>
    </row>
    <row r="25" spans="2:11" x14ac:dyDescent="0.25">
      <c r="B25" s="19" t="s">
        <v>40</v>
      </c>
      <c r="C25" s="26" t="s">
        <v>41</v>
      </c>
      <c r="D25" s="8"/>
      <c r="K25">
        <v>101922</v>
      </c>
    </row>
    <row r="26" spans="2:11" x14ac:dyDescent="0.25">
      <c r="B26" s="19" t="s">
        <v>42</v>
      </c>
      <c r="C26" s="26" t="s">
        <v>43</v>
      </c>
      <c r="D26" s="8" t="s">
        <v>44</v>
      </c>
    </row>
    <row r="27" spans="2:11" x14ac:dyDescent="0.25">
      <c r="B27" s="19" t="s">
        <v>45</v>
      </c>
      <c r="C27" s="25" t="s">
        <v>46</v>
      </c>
      <c r="D27" s="8" t="s">
        <v>47</v>
      </c>
    </row>
    <row r="28" spans="2:11" x14ac:dyDescent="0.25">
      <c r="B28" s="19" t="s">
        <v>48</v>
      </c>
      <c r="C28" s="26" t="s">
        <v>49</v>
      </c>
      <c r="D28" s="8" t="s">
        <v>50</v>
      </c>
    </row>
    <row r="29" spans="2:11" x14ac:dyDescent="0.25">
      <c r="B29" s="19" t="s">
        <v>51</v>
      </c>
      <c r="C29" s="25" t="s">
        <v>52</v>
      </c>
      <c r="D29" s="8" t="s">
        <v>53</v>
      </c>
    </row>
    <row r="30" spans="2:11" x14ac:dyDescent="0.25">
      <c r="B30" s="19" t="s">
        <v>54</v>
      </c>
      <c r="C30" s="26" t="s">
        <v>55</v>
      </c>
      <c r="D30" s="8" t="s">
        <v>56</v>
      </c>
    </row>
    <row r="31" spans="2:11" x14ac:dyDescent="0.25">
      <c r="B31" s="19" t="s">
        <v>57</v>
      </c>
      <c r="C31" s="26" t="s">
        <v>58</v>
      </c>
      <c r="D31" s="8" t="s">
        <v>59</v>
      </c>
    </row>
    <row r="32" spans="2:11" x14ac:dyDescent="0.25">
      <c r="B32" s="19" t="s">
        <v>60</v>
      </c>
      <c r="C32" s="25" t="s">
        <v>61</v>
      </c>
      <c r="D32" s="8" t="s">
        <v>62</v>
      </c>
    </row>
    <row r="33" spans="2:4" x14ac:dyDescent="0.25">
      <c r="B33" s="19" t="s">
        <v>63</v>
      </c>
      <c r="C33" s="26" t="s">
        <v>64</v>
      </c>
      <c r="D33" s="8"/>
    </row>
    <row r="34" spans="2:4" ht="15.75" thickBot="1" x14ac:dyDescent="0.3">
      <c r="B34" s="22" t="s">
        <v>65</v>
      </c>
      <c r="C34" s="29" t="s">
        <v>66</v>
      </c>
      <c r="D34" s="11"/>
    </row>
    <row r="35" spans="2:4" x14ac:dyDescent="0.25">
      <c r="B35" s="23" t="s">
        <v>162</v>
      </c>
      <c r="C35" s="24" t="s">
        <v>79</v>
      </c>
      <c r="D35" s="5"/>
    </row>
    <row r="36" spans="2:4" x14ac:dyDescent="0.25">
      <c r="B36" s="19" t="s">
        <v>163</v>
      </c>
      <c r="C36" s="26" t="s">
        <v>67</v>
      </c>
      <c r="D36" s="8"/>
    </row>
    <row r="37" spans="2:4" x14ac:dyDescent="0.25">
      <c r="B37" s="19" t="s">
        <v>164</v>
      </c>
      <c r="C37" s="26" t="s">
        <v>76</v>
      </c>
      <c r="D37" s="8"/>
    </row>
    <row r="38" spans="2:4" x14ac:dyDescent="0.25">
      <c r="B38" s="19" t="s">
        <v>165</v>
      </c>
      <c r="C38" s="26" t="s">
        <v>78</v>
      </c>
      <c r="D38" s="8"/>
    </row>
    <row r="39" spans="2:4" x14ac:dyDescent="0.25">
      <c r="B39" s="19" t="s">
        <v>166</v>
      </c>
      <c r="C39" s="26" t="s">
        <v>80</v>
      </c>
      <c r="D39" s="8"/>
    </row>
    <row r="40" spans="2:4" x14ac:dyDescent="0.25">
      <c r="B40" s="19" t="s">
        <v>167</v>
      </c>
      <c r="C40" s="26" t="s">
        <v>72</v>
      </c>
      <c r="D40" s="8"/>
    </row>
    <row r="41" spans="2:4" x14ac:dyDescent="0.25">
      <c r="B41" s="19" t="s">
        <v>168</v>
      </c>
      <c r="C41" s="26" t="s">
        <v>68</v>
      </c>
      <c r="D41" s="8"/>
    </row>
    <row r="42" spans="2:4" x14ac:dyDescent="0.25">
      <c r="B42" s="19" t="s">
        <v>169</v>
      </c>
      <c r="C42" s="26" t="s">
        <v>77</v>
      </c>
      <c r="D42" s="8"/>
    </row>
    <row r="43" spans="2:4" x14ac:dyDescent="0.25">
      <c r="B43" s="19" t="s">
        <v>170</v>
      </c>
      <c r="C43" s="26" t="s">
        <v>74</v>
      </c>
      <c r="D43" s="8"/>
    </row>
    <row r="44" spans="2:4" x14ac:dyDescent="0.25">
      <c r="B44" s="19" t="s">
        <v>171</v>
      </c>
      <c r="C44" s="26" t="s">
        <v>75</v>
      </c>
      <c r="D44" s="8"/>
    </row>
    <row r="45" spans="2:4" x14ac:dyDescent="0.25">
      <c r="B45" s="19" t="s">
        <v>172</v>
      </c>
      <c r="C45" s="26" t="s">
        <v>70</v>
      </c>
      <c r="D45" s="8"/>
    </row>
    <row r="46" spans="2:4" x14ac:dyDescent="0.25">
      <c r="B46" s="19" t="s">
        <v>173</v>
      </c>
      <c r="C46" s="26" t="s">
        <v>69</v>
      </c>
      <c r="D46" s="8"/>
    </row>
    <row r="47" spans="2:4" x14ac:dyDescent="0.25">
      <c r="B47" s="19" t="s">
        <v>174</v>
      </c>
      <c r="C47" s="26" t="s">
        <v>73</v>
      </c>
      <c r="D47" s="8"/>
    </row>
    <row r="48" spans="2:4" ht="15.75" thickBot="1" x14ac:dyDescent="0.3">
      <c r="B48" s="19" t="s">
        <v>175</v>
      </c>
      <c r="C48" s="26" t="s">
        <v>71</v>
      </c>
      <c r="D48" s="8"/>
    </row>
    <row r="49" spans="2:4" x14ac:dyDescent="0.25">
      <c r="B49" s="23" t="s">
        <v>190</v>
      </c>
      <c r="C49" s="24" t="s">
        <v>176</v>
      </c>
      <c r="D49" s="5"/>
    </row>
    <row r="50" spans="2:4" x14ac:dyDescent="0.25">
      <c r="B50" s="19" t="s">
        <v>191</v>
      </c>
      <c r="C50" s="26" t="s">
        <v>177</v>
      </c>
      <c r="D50" s="8"/>
    </row>
    <row r="51" spans="2:4" x14ac:dyDescent="0.25">
      <c r="B51" s="19" t="s">
        <v>192</v>
      </c>
      <c r="C51" s="26" t="s">
        <v>178</v>
      </c>
      <c r="D51" s="8"/>
    </row>
    <row r="52" spans="2:4" x14ac:dyDescent="0.25">
      <c r="B52" s="19" t="s">
        <v>193</v>
      </c>
      <c r="C52" s="26" t="s">
        <v>179</v>
      </c>
      <c r="D52" s="8"/>
    </row>
    <row r="53" spans="2:4" x14ac:dyDescent="0.25">
      <c r="B53" s="19" t="s">
        <v>194</v>
      </c>
      <c r="C53" s="26" t="s">
        <v>180</v>
      </c>
      <c r="D53" s="8"/>
    </row>
    <row r="54" spans="2:4" x14ac:dyDescent="0.25">
      <c r="B54" s="19" t="s">
        <v>195</v>
      </c>
      <c r="C54" s="26" t="s">
        <v>181</v>
      </c>
      <c r="D54" s="8"/>
    </row>
    <row r="55" spans="2:4" x14ac:dyDescent="0.25">
      <c r="B55" s="19" t="s">
        <v>196</v>
      </c>
      <c r="C55" s="26" t="s">
        <v>182</v>
      </c>
      <c r="D55" s="8"/>
    </row>
    <row r="56" spans="2:4" x14ac:dyDescent="0.25">
      <c r="B56" s="19" t="s">
        <v>197</v>
      </c>
      <c r="C56" s="26" t="s">
        <v>183</v>
      </c>
      <c r="D56" s="8"/>
    </row>
    <row r="57" spans="2:4" x14ac:dyDescent="0.25">
      <c r="B57" s="19" t="s">
        <v>198</v>
      </c>
      <c r="C57" s="26" t="s">
        <v>184</v>
      </c>
      <c r="D57" s="8"/>
    </row>
    <row r="58" spans="2:4" x14ac:dyDescent="0.25">
      <c r="B58" s="19" t="s">
        <v>199</v>
      </c>
      <c r="C58" s="26" t="s">
        <v>185</v>
      </c>
      <c r="D58" s="8"/>
    </row>
    <row r="59" spans="2:4" x14ac:dyDescent="0.25">
      <c r="B59" s="19" t="s">
        <v>200</v>
      </c>
      <c r="C59" s="26" t="s">
        <v>186</v>
      </c>
      <c r="D59" s="8"/>
    </row>
    <row r="60" spans="2:4" x14ac:dyDescent="0.25">
      <c r="B60" s="19" t="s">
        <v>201</v>
      </c>
      <c r="C60" s="26" t="s">
        <v>187</v>
      </c>
      <c r="D60" s="8"/>
    </row>
    <row r="61" spans="2:4" x14ac:dyDescent="0.25">
      <c r="B61" s="19" t="s">
        <v>202</v>
      </c>
      <c r="C61" s="26" t="s">
        <v>188</v>
      </c>
      <c r="D61" s="8"/>
    </row>
    <row r="62" spans="2:4" ht="15.75" thickBot="1" x14ac:dyDescent="0.3">
      <c r="B62" s="20" t="s">
        <v>203</v>
      </c>
      <c r="C62" s="30" t="s">
        <v>189</v>
      </c>
      <c r="D62" s="13"/>
    </row>
    <row r="63" spans="2:4" x14ac:dyDescent="0.25">
      <c r="B63" s="23" t="s">
        <v>204</v>
      </c>
      <c r="C63" s="24" t="s">
        <v>218</v>
      </c>
      <c r="D63" s="5" t="s">
        <v>81</v>
      </c>
    </row>
    <row r="64" spans="2:4" x14ac:dyDescent="0.25">
      <c r="B64" s="19" t="s">
        <v>205</v>
      </c>
      <c r="C64" s="26" t="s">
        <v>219</v>
      </c>
      <c r="D64" s="8"/>
    </row>
    <row r="65" spans="2:7" x14ac:dyDescent="0.25">
      <c r="B65" s="19" t="s">
        <v>206</v>
      </c>
      <c r="C65" s="26" t="s">
        <v>220</v>
      </c>
      <c r="D65" s="8"/>
      <c r="F65" t="s">
        <v>297</v>
      </c>
    </row>
    <row r="66" spans="2:7" x14ac:dyDescent="0.25">
      <c r="B66" s="19" t="s">
        <v>207</v>
      </c>
      <c r="C66" s="26" t="s">
        <v>221</v>
      </c>
      <c r="D66" s="8"/>
    </row>
    <row r="67" spans="2:7" x14ac:dyDescent="0.25">
      <c r="B67" s="19" t="s">
        <v>208</v>
      </c>
      <c r="C67" s="26" t="s">
        <v>222</v>
      </c>
      <c r="D67" s="8"/>
    </row>
    <row r="68" spans="2:7" x14ac:dyDescent="0.25">
      <c r="B68" s="19" t="s">
        <v>209</v>
      </c>
      <c r="C68" s="26" t="s">
        <v>223</v>
      </c>
      <c r="D68" s="8"/>
      <c r="F68">
        <v>101992</v>
      </c>
      <c r="G68">
        <v>30</v>
      </c>
    </row>
    <row r="69" spans="2:7" x14ac:dyDescent="0.25">
      <c r="B69" s="19" t="s">
        <v>210</v>
      </c>
      <c r="C69" s="26" t="s">
        <v>224</v>
      </c>
      <c r="D69" s="8"/>
    </row>
    <row r="70" spans="2:7" x14ac:dyDescent="0.25">
      <c r="B70" s="19" t="s">
        <v>211</v>
      </c>
      <c r="C70" s="26" t="s">
        <v>225</v>
      </c>
      <c r="D70" s="8"/>
      <c r="F70" t="s">
        <v>298</v>
      </c>
      <c r="G70">
        <v>5</v>
      </c>
    </row>
    <row r="71" spans="2:7" x14ac:dyDescent="0.25">
      <c r="B71" s="19" t="s">
        <v>212</v>
      </c>
      <c r="C71" s="26" t="s">
        <v>226</v>
      </c>
      <c r="D71" s="8"/>
    </row>
    <row r="72" spans="2:7" x14ac:dyDescent="0.25">
      <c r="B72" s="19" t="s">
        <v>213</v>
      </c>
      <c r="C72" s="26" t="s">
        <v>227</v>
      </c>
      <c r="D72" s="8"/>
    </row>
    <row r="73" spans="2:7" x14ac:dyDescent="0.25">
      <c r="B73" s="19" t="s">
        <v>214</v>
      </c>
      <c r="C73" s="26" t="s">
        <v>228</v>
      </c>
      <c r="D73" s="8"/>
    </row>
    <row r="74" spans="2:7" x14ac:dyDescent="0.25">
      <c r="B74" s="19" t="s">
        <v>215</v>
      </c>
      <c r="C74" s="26" t="s">
        <v>229</v>
      </c>
      <c r="D74" s="8"/>
      <c r="G74">
        <f>5/30</f>
        <v>0.16666666666666666</v>
      </c>
    </row>
    <row r="75" spans="2:7" x14ac:dyDescent="0.25">
      <c r="B75" s="19" t="s">
        <v>216</v>
      </c>
      <c r="C75" s="26" t="s">
        <v>230</v>
      </c>
      <c r="D75" s="8"/>
    </row>
    <row r="76" spans="2:7" ht="15.75" thickBot="1" x14ac:dyDescent="0.3">
      <c r="B76" s="20" t="s">
        <v>217</v>
      </c>
      <c r="C76" s="30" t="s">
        <v>231</v>
      </c>
      <c r="D76" s="13"/>
    </row>
    <row r="77" spans="2:7" x14ac:dyDescent="0.25">
      <c r="B77" s="23" t="s">
        <v>232</v>
      </c>
      <c r="C77" s="24" t="s">
        <v>95</v>
      </c>
      <c r="D77" s="5" t="s">
        <v>83</v>
      </c>
    </row>
    <row r="78" spans="2:7" x14ac:dyDescent="0.25">
      <c r="B78" s="19" t="s">
        <v>233</v>
      </c>
      <c r="C78" s="26" t="s">
        <v>82</v>
      </c>
      <c r="D78" s="8"/>
      <c r="F78">
        <v>101992</v>
      </c>
      <c r="G78">
        <v>1</v>
      </c>
    </row>
    <row r="79" spans="2:7" x14ac:dyDescent="0.25">
      <c r="B79" s="19" t="s">
        <v>234</v>
      </c>
      <c r="C79" s="26" t="s">
        <v>92</v>
      </c>
      <c r="D79" s="8"/>
      <c r="F79">
        <v>101352</v>
      </c>
      <c r="G79">
        <v>0</v>
      </c>
    </row>
    <row r="80" spans="2:7" x14ac:dyDescent="0.25">
      <c r="B80" s="19" t="s">
        <v>235</v>
      </c>
      <c r="C80" s="26" t="s">
        <v>94</v>
      </c>
      <c r="D80" s="8"/>
    </row>
    <row r="81" spans="2:4" x14ac:dyDescent="0.25">
      <c r="B81" s="19" t="s">
        <v>236</v>
      </c>
      <c r="C81" s="26" t="s">
        <v>96</v>
      </c>
      <c r="D81" s="8"/>
    </row>
    <row r="82" spans="2:4" x14ac:dyDescent="0.25">
      <c r="B82" s="19" t="s">
        <v>237</v>
      </c>
      <c r="C82" s="26" t="s">
        <v>88</v>
      </c>
      <c r="D82" s="8"/>
    </row>
    <row r="83" spans="2:4" x14ac:dyDescent="0.25">
      <c r="B83" s="19" t="s">
        <v>238</v>
      </c>
      <c r="C83" s="26" t="s">
        <v>84</v>
      </c>
      <c r="D83" s="8"/>
    </row>
    <row r="84" spans="2:4" x14ac:dyDescent="0.25">
      <c r="B84" s="19" t="s">
        <v>239</v>
      </c>
      <c r="C84" s="26" t="s">
        <v>93</v>
      </c>
      <c r="D84" s="8"/>
    </row>
    <row r="85" spans="2:4" x14ac:dyDescent="0.25">
      <c r="B85" s="19" t="s">
        <v>240</v>
      </c>
      <c r="C85" s="26" t="s">
        <v>90</v>
      </c>
      <c r="D85" s="8"/>
    </row>
    <row r="86" spans="2:4" x14ac:dyDescent="0.25">
      <c r="B86" s="19" t="s">
        <v>241</v>
      </c>
      <c r="C86" s="26" t="s">
        <v>91</v>
      </c>
      <c r="D86" s="8"/>
    </row>
    <row r="87" spans="2:4" x14ac:dyDescent="0.25">
      <c r="B87" s="19" t="s">
        <v>242</v>
      </c>
      <c r="C87" s="26" t="s">
        <v>86</v>
      </c>
      <c r="D87" s="8"/>
    </row>
    <row r="88" spans="2:4" x14ac:dyDescent="0.25">
      <c r="B88" s="19" t="s">
        <v>243</v>
      </c>
      <c r="C88" s="26" t="s">
        <v>85</v>
      </c>
      <c r="D88" s="8"/>
    </row>
    <row r="89" spans="2:4" x14ac:dyDescent="0.25">
      <c r="B89" s="19" t="s">
        <v>244</v>
      </c>
      <c r="C89" s="26" t="s">
        <v>89</v>
      </c>
      <c r="D89" s="8"/>
    </row>
    <row r="90" spans="2:4" ht="15.75" thickBot="1" x14ac:dyDescent="0.3">
      <c r="B90" s="20" t="s">
        <v>245</v>
      </c>
      <c r="C90" s="30" t="s">
        <v>87</v>
      </c>
      <c r="D90" s="13"/>
    </row>
    <row r="91" spans="2:4" x14ac:dyDescent="0.25">
      <c r="B91" s="23" t="s">
        <v>246</v>
      </c>
      <c r="C91" s="24" t="s">
        <v>110</v>
      </c>
      <c r="D91" s="5" t="s">
        <v>98</v>
      </c>
    </row>
    <row r="92" spans="2:4" x14ac:dyDescent="0.25">
      <c r="B92" s="19" t="s">
        <v>247</v>
      </c>
      <c r="C92" s="26" t="s">
        <v>97</v>
      </c>
      <c r="D92" s="8"/>
    </row>
    <row r="93" spans="2:4" x14ac:dyDescent="0.25">
      <c r="B93" s="19" t="s">
        <v>248</v>
      </c>
      <c r="C93" s="26" t="s">
        <v>107</v>
      </c>
      <c r="D93" s="8"/>
    </row>
    <row r="94" spans="2:4" x14ac:dyDescent="0.25">
      <c r="B94" s="19" t="s">
        <v>249</v>
      </c>
      <c r="C94" s="26" t="s">
        <v>109</v>
      </c>
      <c r="D94" s="8"/>
    </row>
    <row r="95" spans="2:4" x14ac:dyDescent="0.25">
      <c r="B95" s="19" t="s">
        <v>250</v>
      </c>
      <c r="C95" s="26" t="s">
        <v>111</v>
      </c>
      <c r="D95" s="8"/>
    </row>
    <row r="96" spans="2:4" x14ac:dyDescent="0.25">
      <c r="B96" s="19" t="s">
        <v>251</v>
      </c>
      <c r="C96" s="26" t="s">
        <v>103</v>
      </c>
      <c r="D96" s="8"/>
    </row>
    <row r="97" spans="2:13" x14ac:dyDescent="0.25">
      <c r="B97" s="19" t="s">
        <v>252</v>
      </c>
      <c r="C97" s="26" t="s">
        <v>99</v>
      </c>
      <c r="D97" s="8"/>
    </row>
    <row r="98" spans="2:13" x14ac:dyDescent="0.25">
      <c r="B98" s="19" t="s">
        <v>253</v>
      </c>
      <c r="C98" s="26" t="s">
        <v>108</v>
      </c>
      <c r="D98" s="8"/>
    </row>
    <row r="99" spans="2:13" x14ac:dyDescent="0.25">
      <c r="B99" s="19" t="s">
        <v>254</v>
      </c>
      <c r="C99" s="26" t="s">
        <v>105</v>
      </c>
      <c r="D99" s="8"/>
    </row>
    <row r="100" spans="2:13" x14ac:dyDescent="0.25">
      <c r="B100" s="19" t="s">
        <v>255</v>
      </c>
      <c r="C100" s="26" t="s">
        <v>106</v>
      </c>
      <c r="D100" s="8"/>
    </row>
    <row r="101" spans="2:13" x14ac:dyDescent="0.25">
      <c r="B101" s="19" t="s">
        <v>256</v>
      </c>
      <c r="C101" s="26" t="s">
        <v>101</v>
      </c>
      <c r="D101" s="8"/>
    </row>
    <row r="102" spans="2:13" x14ac:dyDescent="0.25">
      <c r="B102" s="19" t="s">
        <v>257</v>
      </c>
      <c r="C102" s="26" t="s">
        <v>100</v>
      </c>
      <c r="D102" s="8"/>
    </row>
    <row r="103" spans="2:13" x14ac:dyDescent="0.25">
      <c r="B103" s="19" t="s">
        <v>258</v>
      </c>
      <c r="C103" s="26" t="s">
        <v>104</v>
      </c>
      <c r="D103" s="8"/>
    </row>
    <row r="104" spans="2:13" ht="15.75" thickBot="1" x14ac:dyDescent="0.3">
      <c r="B104" s="20" t="s">
        <v>259</v>
      </c>
      <c r="C104" s="30" t="s">
        <v>102</v>
      </c>
      <c r="D104" s="13"/>
    </row>
    <row r="105" spans="2:13" x14ac:dyDescent="0.25">
      <c r="B105" s="21" t="s">
        <v>160</v>
      </c>
      <c r="C105" s="28" t="s">
        <v>161</v>
      </c>
      <c r="D105" s="12"/>
      <c r="L105" t="s">
        <v>301</v>
      </c>
      <c r="M105" t="s">
        <v>302</v>
      </c>
    </row>
    <row r="106" spans="2:13" x14ac:dyDescent="0.25">
      <c r="B106" s="19" t="s">
        <v>159</v>
      </c>
      <c r="C106" s="26" t="s">
        <v>260</v>
      </c>
      <c r="D106" s="8"/>
    </row>
    <row r="107" spans="2:13" x14ac:dyDescent="0.25">
      <c r="B107" s="19" t="s">
        <v>112</v>
      </c>
      <c r="C107" s="26" t="s">
        <v>113</v>
      </c>
      <c r="D107" s="9" t="s">
        <v>114</v>
      </c>
    </row>
    <row r="108" spans="2:13" x14ac:dyDescent="0.25">
      <c r="B108" s="19" t="s">
        <v>115</v>
      </c>
      <c r="C108" s="26" t="s">
        <v>116</v>
      </c>
      <c r="D108" s="9" t="s">
        <v>117</v>
      </c>
      <c r="G108">
        <v>101992</v>
      </c>
      <c r="H108" t="s">
        <v>299</v>
      </c>
      <c r="L108" t="s">
        <v>300</v>
      </c>
    </row>
    <row r="109" spans="2:13" x14ac:dyDescent="0.25">
      <c r="B109" s="19" t="s">
        <v>118</v>
      </c>
      <c r="C109" s="26" t="s">
        <v>119</v>
      </c>
      <c r="D109" s="9" t="s">
        <v>120</v>
      </c>
    </row>
    <row r="110" spans="2:13" x14ac:dyDescent="0.25">
      <c r="B110" s="19" t="s">
        <v>121</v>
      </c>
      <c r="C110" s="26" t="s">
        <v>122</v>
      </c>
      <c r="D110" s="9" t="s">
        <v>123</v>
      </c>
    </row>
    <row r="111" spans="2:13" x14ac:dyDescent="0.25">
      <c r="B111" s="19" t="s">
        <v>124</v>
      </c>
      <c r="C111" s="26" t="s">
        <v>125</v>
      </c>
      <c r="D111" s="9" t="s">
        <v>126</v>
      </c>
    </row>
    <row r="112" spans="2:13" x14ac:dyDescent="0.25">
      <c r="B112" s="19" t="s">
        <v>127</v>
      </c>
      <c r="C112" s="26" t="s">
        <v>128</v>
      </c>
      <c r="D112" s="8" t="s">
        <v>129</v>
      </c>
    </row>
    <row r="113" spans="1:9" x14ac:dyDescent="0.25">
      <c r="B113" s="19" t="s">
        <v>130</v>
      </c>
      <c r="C113" s="26" t="s">
        <v>131</v>
      </c>
      <c r="D113" s="8" t="s">
        <v>132</v>
      </c>
    </row>
    <row r="114" spans="1:9" x14ac:dyDescent="0.25">
      <c r="B114" s="19" t="s">
        <v>158</v>
      </c>
      <c r="C114" s="26" t="s">
        <v>133</v>
      </c>
      <c r="D114" s="8" t="s">
        <v>134</v>
      </c>
    </row>
    <row r="115" spans="1:9" x14ac:dyDescent="0.25">
      <c r="B115" s="19" t="s">
        <v>135</v>
      </c>
      <c r="C115" s="26" t="s">
        <v>136</v>
      </c>
      <c r="D115" s="8"/>
    </row>
    <row r="116" spans="1:9" x14ac:dyDescent="0.25">
      <c r="B116" s="19" t="s">
        <v>137</v>
      </c>
      <c r="C116" s="26" t="s">
        <v>138</v>
      </c>
      <c r="D116" s="8"/>
    </row>
    <row r="117" spans="1:9" x14ac:dyDescent="0.25">
      <c r="B117" s="19" t="s">
        <v>149</v>
      </c>
      <c r="C117" s="26" t="s">
        <v>151</v>
      </c>
      <c r="D117" s="8" t="s">
        <v>150</v>
      </c>
    </row>
    <row r="118" spans="1:9" x14ac:dyDescent="0.25">
      <c r="A118" t="s">
        <v>272</v>
      </c>
      <c r="B118" s="19" t="s">
        <v>152</v>
      </c>
      <c r="C118" s="26" t="s">
        <v>153</v>
      </c>
      <c r="D118" s="8" t="s">
        <v>154</v>
      </c>
    </row>
    <row r="119" spans="1:9" x14ac:dyDescent="0.25">
      <c r="A119" t="s">
        <v>272</v>
      </c>
      <c r="B119" s="19" t="s">
        <v>155</v>
      </c>
      <c r="C119" s="26" t="s">
        <v>156</v>
      </c>
      <c r="D119" s="8" t="s">
        <v>157</v>
      </c>
    </row>
    <row r="121" spans="1:9" x14ac:dyDescent="0.25">
      <c r="A121" t="s">
        <v>273</v>
      </c>
    </row>
    <row r="122" spans="1:9" x14ac:dyDescent="0.25">
      <c r="B122" s="10" t="s">
        <v>274</v>
      </c>
      <c r="D122" t="s">
        <v>280</v>
      </c>
      <c r="F122" t="s">
        <v>282</v>
      </c>
      <c r="I122" t="s">
        <v>289</v>
      </c>
    </row>
    <row r="123" spans="1:9" x14ac:dyDescent="0.25">
      <c r="B123" s="10" t="s">
        <v>275</v>
      </c>
      <c r="D123" t="s">
        <v>281</v>
      </c>
      <c r="G123" t="s">
        <v>283</v>
      </c>
    </row>
    <row r="124" spans="1:9" x14ac:dyDescent="0.25">
      <c r="B124" s="10" t="s">
        <v>276</v>
      </c>
      <c r="C124" t="s">
        <v>277</v>
      </c>
      <c r="G124" t="s">
        <v>284</v>
      </c>
    </row>
    <row r="125" spans="1:9" x14ac:dyDescent="0.25">
      <c r="C125" t="s">
        <v>278</v>
      </c>
      <c r="G125" t="s">
        <v>285</v>
      </c>
    </row>
    <row r="126" spans="1:9" x14ac:dyDescent="0.25">
      <c r="C126" t="s">
        <v>279</v>
      </c>
      <c r="G126" t="s">
        <v>286</v>
      </c>
    </row>
    <row r="128" spans="1:9" x14ac:dyDescent="0.25">
      <c r="G128" t="s">
        <v>287</v>
      </c>
    </row>
    <row r="129" spans="3:7" x14ac:dyDescent="0.25">
      <c r="C129" s="14"/>
    </row>
    <row r="130" spans="3:7" x14ac:dyDescent="0.25">
      <c r="G130" t="s">
        <v>288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Mouli Kotta Kota</dc:creator>
  <cp:lastModifiedBy>Sandeep Ravula</cp:lastModifiedBy>
  <dcterms:created xsi:type="dcterms:W3CDTF">2017-05-16T17:50:32Z</dcterms:created>
  <dcterms:modified xsi:type="dcterms:W3CDTF">2026-01-25T04:34:55Z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ea05af41-cc3b-4a15-b2c4-b41476112cb1</vt:lpwstr>
  </property>
</Properties>
</file>